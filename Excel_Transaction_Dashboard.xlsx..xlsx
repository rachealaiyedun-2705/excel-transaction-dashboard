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7662056ed62e26/Desktop/"/>
    </mc:Choice>
  </mc:AlternateContent>
  <xr:revisionPtr revIDLastSave="0" documentId="8_{BEDCC2FA-AA79-46AC-907C-5C992AAC2E65}" xr6:coauthVersionLast="47" xr6:coauthVersionMax="47" xr10:uidLastSave="{00000000-0000-0000-0000-000000000000}"/>
  <bookViews>
    <workbookView xWindow="-110" yWindow="-110" windowWidth="19420" windowHeight="10300" activeTab="2" xr2:uid="{12DAEE0B-89EF-4FB0-BA42-DB9F2A1121D5}"/>
  </bookViews>
  <sheets>
    <sheet name="Sheet2" sheetId="2" r:id="rId1"/>
    <sheet name="Sheet3" sheetId="3" r:id="rId2"/>
    <sheet name="DASHBOARD" sheetId="4" r:id="rId3"/>
    <sheet name="TRANSACTION SHEET" sheetId="1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4" l="1"/>
  <c r="G8" i="4"/>
  <c r="G16" i="1"/>
  <c r="G14" i="1"/>
  <c r="G12" i="1"/>
  <c r="G10" i="1"/>
  <c r="G6" i="1"/>
  <c r="K5" i="4" s="1"/>
  <c r="G4" i="1"/>
  <c r="G5" i="4" s="1"/>
  <c r="G2" i="1"/>
  <c r="B5" i="4" s="1"/>
</calcChain>
</file>

<file path=xl/sharedStrings.xml><?xml version="1.0" encoding="utf-8"?>
<sst xmlns="http://schemas.openxmlformats.org/spreadsheetml/2006/main" count="74" uniqueCount="41">
  <si>
    <t>Transaction_ID</t>
  </si>
  <si>
    <t>Date</t>
  </si>
  <si>
    <t>Payment_Method</t>
  </si>
  <si>
    <t>Amount</t>
  </si>
  <si>
    <t>Status</t>
  </si>
  <si>
    <t>TXN001</t>
  </si>
  <si>
    <t>Card</t>
  </si>
  <si>
    <t>Successful</t>
  </si>
  <si>
    <t>TXN002</t>
  </si>
  <si>
    <t>Transfer</t>
  </si>
  <si>
    <t>TXN003</t>
  </si>
  <si>
    <t>USSD</t>
  </si>
  <si>
    <t>Failed</t>
  </si>
  <si>
    <t>TXN004</t>
  </si>
  <si>
    <t>TXN005</t>
  </si>
  <si>
    <t>TXN006</t>
  </si>
  <si>
    <t>TXN007</t>
  </si>
  <si>
    <t>TXN008</t>
  </si>
  <si>
    <t>TXN009</t>
  </si>
  <si>
    <t>TXN010</t>
  </si>
  <si>
    <t>TXN011</t>
  </si>
  <si>
    <t>TXN012</t>
  </si>
  <si>
    <t>TXN013</t>
  </si>
  <si>
    <t>TXN014</t>
  </si>
  <si>
    <t>TXN015</t>
  </si>
  <si>
    <t>Total Transaction Value</t>
  </si>
  <si>
    <t>Successful Revenue</t>
  </si>
  <si>
    <t>Failed Revenue</t>
  </si>
  <si>
    <t>Successful transaction count</t>
  </si>
  <si>
    <t>Failed transaction count</t>
  </si>
  <si>
    <t>Failure Rate</t>
  </si>
  <si>
    <t>Successful Rate</t>
  </si>
  <si>
    <t>Sum of Amount</t>
  </si>
  <si>
    <t>Row Labels</t>
  </si>
  <si>
    <t>Grand Total</t>
  </si>
  <si>
    <t>Count of Status</t>
  </si>
  <si>
    <t>Total transaction count</t>
  </si>
  <si>
    <t>Total Transaction Count</t>
  </si>
  <si>
    <t>Success Rate</t>
  </si>
  <si>
    <t xml:space="preserve">                                                                                                                DASHBOARD OVERVIEW</t>
  </si>
  <si>
    <r>
      <t xml:space="preserve">                              </t>
    </r>
    <r>
      <rPr>
        <b/>
        <sz val="24"/>
        <color theme="1"/>
        <rFont val="Aptos Narrow"/>
        <family val="2"/>
        <scheme val="minor"/>
      </rPr>
      <t xml:space="preserve">     TRANSACTION PERFORMANCE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</si>
</sst>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₦-468]\ #,##0.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3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14" fontId="0" fillId="0" borderId="0" xfId="0" applyNumberFormat="1"/>
    <xf numFmtId="0" fontId="3" fillId="0" borderId="0" xfId="0" applyFont="1"/>
    <xf numFmtId="0" fontId="2" fillId="0" borderId="0" xfId="0" applyFon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164" fontId="6" fillId="2" borderId="3" xfId="1" applyNumberFormat="1" applyFont="1" applyFill="1" applyBorder="1"/>
    <xf numFmtId="164" fontId="4" fillId="3" borderId="3" xfId="1" applyNumberFormat="1" applyFont="1" applyFill="1" applyBorder="1"/>
    <xf numFmtId="0" fontId="0" fillId="4" borderId="0" xfId="0" applyFill="1"/>
    <xf numFmtId="164" fontId="4" fillId="5" borderId="0" xfId="1" applyNumberFormat="1" applyFont="1" applyFill="1" applyBorder="1"/>
    <xf numFmtId="0" fontId="7" fillId="3" borderId="4" xfId="0" applyFont="1" applyFill="1" applyBorder="1"/>
    <xf numFmtId="0" fontId="7" fillId="2" borderId="2" xfId="0" applyFont="1" applyFill="1" applyBorder="1"/>
    <xf numFmtId="0" fontId="7" fillId="5" borderId="0" xfId="0" applyFont="1" applyFill="1"/>
    <xf numFmtId="0" fontId="7" fillId="7" borderId="0" xfId="0" applyFont="1" applyFill="1"/>
    <xf numFmtId="0" fontId="4" fillId="7" borderId="0" xfId="0" applyFont="1" applyFill="1"/>
    <xf numFmtId="0" fontId="7" fillId="8" borderId="0" xfId="0" applyFont="1" applyFill="1"/>
    <xf numFmtId="0" fontId="7" fillId="9" borderId="0" xfId="0" applyFont="1" applyFill="1"/>
    <xf numFmtId="0" fontId="5" fillId="10" borderId="0" xfId="0" applyFont="1" applyFill="1" applyAlignment="1">
      <alignment vertical="center"/>
    </xf>
    <xf numFmtId="0" fontId="0" fillId="10" borderId="0" xfId="0" applyFill="1"/>
    <xf numFmtId="0" fontId="2" fillId="10" borderId="0" xfId="0" applyFont="1" applyFill="1"/>
    <xf numFmtId="0" fontId="8" fillId="10" borderId="0" xfId="0" applyFont="1" applyFill="1"/>
    <xf numFmtId="0" fontId="9" fillId="10" borderId="0" xfId="0" applyFont="1" applyFill="1"/>
    <xf numFmtId="10" fontId="4" fillId="8" borderId="0" xfId="2" applyNumberFormat="1" applyFont="1" applyFill="1"/>
    <xf numFmtId="10" fontId="4" fillId="9" borderId="0" xfId="2" applyNumberFormat="1" applyFont="1" applyFill="1"/>
    <xf numFmtId="10" fontId="0" fillId="0" borderId="0" xfId="2" applyNumberFormat="1" applyFont="1"/>
    <xf numFmtId="10" fontId="1" fillId="6" borderId="0" xfId="2" applyNumberFormat="1" applyFont="1" applyFill="1"/>
  </cellXfs>
  <cellStyles count="3">
    <cellStyle name="Currency" xfId="1" builtinId="4"/>
    <cellStyle name="Normal" xfId="0" builtinId="0"/>
    <cellStyle name="Percent" xfId="2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9" tint="0.79998168889431442"/>
        </patternFill>
      </fill>
    </dxf>
    <dxf>
      <font>
        <b val="0"/>
      </font>
      <numFmt numFmtId="14" formatCode="0.00%"/>
      <fill>
        <patternFill patternType="solid">
          <fgColor indexed="64"/>
          <bgColor theme="9" tint="0.79998168889431442"/>
        </patternFill>
      </fill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[Excel_Transaction_Dashboard.xlsx^.xlsx]Sheet3!PivotTable2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TRANSACTION STATUS</a:t>
            </a:r>
          </a:p>
        </c:rich>
      </c:tx>
      <c:layout>
        <c:manualLayout>
          <c:xMode val="edge"/>
          <c:yMode val="edge"/>
          <c:x val="0.15026497640442385"/>
          <c:y val="0.10479970495387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A5-4101-9016-23564F1D5C67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A5-4101-9016-23564F1D5C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Sheet3!$A$4:$A$6</c:f>
              <c:strCache>
                <c:ptCount val="2"/>
                <c:pt idx="0">
                  <c:v>Failed</c:v>
                </c:pt>
                <c:pt idx="1">
                  <c:v>Successful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4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A5-4101-9016-23564F1D5C6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43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[Excel_Transaction_Dashboard.xlsx^.xlsx]Sheet2!PivotTable1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TRANSACTION REVENUE</a:t>
            </a:r>
          </a:p>
        </c:rich>
      </c:tx>
      <c:layout>
        <c:manualLayout>
          <c:xMode val="edge"/>
          <c:yMode val="edge"/>
          <c:x val="0.18738949162304988"/>
          <c:y val="5.76677252609514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189018831841879"/>
          <c:y val="0.20686478216645959"/>
          <c:w val="0.72237495049274281"/>
          <c:h val="0.708976057823167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10/1/2026</c:v>
                </c:pt>
                <c:pt idx="1">
                  <c:v>10/2/2026</c:v>
                </c:pt>
                <c:pt idx="2">
                  <c:v>10/3/2026</c:v>
                </c:pt>
                <c:pt idx="3">
                  <c:v>10/4/2026</c:v>
                </c:pt>
                <c:pt idx="4">
                  <c:v>10/5/2026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35500</c:v>
                </c:pt>
                <c:pt idx="1">
                  <c:v>38500</c:v>
                </c:pt>
                <c:pt idx="2">
                  <c:v>34500</c:v>
                </c:pt>
                <c:pt idx="3">
                  <c:v>41500</c:v>
                </c:pt>
                <c:pt idx="4">
                  <c:v>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23-4F94-92DA-981121493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35977951"/>
        <c:axId val="1535996191"/>
      </c:barChart>
      <c:catAx>
        <c:axId val="153597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996191"/>
        <c:crosses val="autoZero"/>
        <c:auto val="1"/>
        <c:lblAlgn val="ctr"/>
        <c:lblOffset val="100"/>
        <c:noMultiLvlLbl val="0"/>
      </c:catAx>
      <c:valAx>
        <c:axId val="153599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97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223345</xdr:colOff>
      <xdr:row>8</xdr:row>
      <xdr:rowOff>113206</xdr:rowOff>
    </xdr:from>
    <xdr:to>
      <xdr:col>6</xdr:col>
      <xdr:colOff>1042495</xdr:colOff>
      <xdr:row>23</xdr:row>
      <xdr:rowOff>100506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9DBAEC-C33D-4483-96D7-5244EC93E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1179787</xdr:colOff>
      <xdr:row>8</xdr:row>
      <xdr:rowOff>91308</xdr:rowOff>
    </xdr:from>
    <xdr:to>
      <xdr:col>11</xdr:col>
      <xdr:colOff>19051</xdr:colOff>
      <xdr:row>23</xdr:row>
      <xdr:rowOff>104008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D3E219-2C89-4F9B-AB2C-C6444E4C54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15.096444907409" createdVersion="8" refreshedVersion="8" minRefreshableVersion="3" recordCount="15" xr:uid="{80262744-C2CC-4D6F-9F4C-6D7EA76C7E41}">
  <cacheSource type="worksheet">
    <worksheetSource name="Table1"/>
  </cacheSource>
  <cacheFields count="5">
    <cacheField name="Transaction_ID" numFmtId="0">
      <sharedItems/>
    </cacheField>
    <cacheField name="Date" numFmtId="14">
      <sharedItems containsSemiMixedTypes="0" containsNonDate="0" containsDate="1" containsString="0" minDate="2026-10-01T00:00:00" maxDate="2026-10-06T00:00:00" count="5">
        <d v="2026-10-01T00:00:00"/>
        <d v="2026-10-02T00:00:00"/>
        <d v="2026-10-03T00:00:00"/>
        <d v="2026-10-04T00:00:00"/>
        <d v="2026-10-05T00:00:00"/>
      </sharedItems>
    </cacheField>
    <cacheField name="Payment_Method" numFmtId="0">
      <sharedItems/>
    </cacheField>
    <cacheField name="Amount" numFmtId="0">
      <sharedItems containsSemiMixedTypes="0" containsString="0" containsNumber="1" containsInteger="1" minValue="5500" maxValue="25000"/>
    </cacheField>
    <cacheField name="Status" numFmtId="0">
      <sharedItems count="2">
        <s v="Successful"/>
        <s v="Fail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TXN001"/>
    <x v="0"/>
    <s v="Card"/>
    <n v="15000"/>
    <x v="0"/>
  </r>
  <r>
    <s v="TXN002"/>
    <x v="0"/>
    <s v="Transfer"/>
    <n v="8500"/>
    <x v="0"/>
  </r>
  <r>
    <s v="TXN003"/>
    <x v="0"/>
    <s v="USSD"/>
    <n v="12000"/>
    <x v="1"/>
  </r>
  <r>
    <s v="TXN004"/>
    <x v="1"/>
    <s v="Card"/>
    <n v="22000"/>
    <x v="0"/>
  </r>
  <r>
    <s v="TXN005"/>
    <x v="1"/>
    <s v="Transfer"/>
    <n v="6500"/>
    <x v="1"/>
  </r>
  <r>
    <s v="TXN006"/>
    <x v="1"/>
    <s v="USSD"/>
    <n v="10000"/>
    <x v="0"/>
  </r>
  <r>
    <s v="TXN007"/>
    <x v="2"/>
    <s v="Card"/>
    <n v="18000"/>
    <x v="0"/>
  </r>
  <r>
    <s v="TXN008"/>
    <x v="2"/>
    <s v="Transfer"/>
    <n v="9500"/>
    <x v="0"/>
  </r>
  <r>
    <s v="TXN009"/>
    <x v="2"/>
    <s v="USSD"/>
    <n v="7000"/>
    <x v="1"/>
  </r>
  <r>
    <s v="TXN010"/>
    <x v="3"/>
    <s v="Card"/>
    <n v="25000"/>
    <x v="0"/>
  </r>
  <r>
    <s v="TXN011"/>
    <x v="3"/>
    <s v="Transfer"/>
    <n v="11000"/>
    <x v="0"/>
  </r>
  <r>
    <s v="TXN012"/>
    <x v="3"/>
    <s v="USSD"/>
    <n v="5500"/>
    <x v="0"/>
  </r>
  <r>
    <s v="TXN013"/>
    <x v="4"/>
    <s v="Card"/>
    <n v="14000"/>
    <x v="1"/>
  </r>
  <r>
    <s v="TXN014"/>
    <x v="4"/>
    <s v="Transfer"/>
    <n v="8000"/>
    <x v="0"/>
  </r>
  <r>
    <s v="TXN015"/>
    <x v="4"/>
    <s v="USSD"/>
    <n v="160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5D060-9C4C-4DF4-9CE7-39BF202C127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5">
    <pivotField showAll="0"/>
    <pivotField axis="axisRow" numFmtId="14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>
      <items count="3">
        <item x="1"/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3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DD2DA-E647-4941-89EB-DFB72C7ACEE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5">
    <pivotField showAll="0"/>
    <pivotField numFmtId="14" showAll="0"/>
    <pivotField showAll="0"/>
    <pivotField showAll="0"/>
    <pivotField axis="axisRow" dataField="1" showAll="0">
      <items count="3">
        <item x="1"/>
        <item x="0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Status" fld="4" subtotal="count" baseField="0" baseItem="0"/>
  </dataFields>
  <chartFormats count="3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3949C2-6B99-4D65-A76C-E7EBA5E8AE5C}" name="Table1" displayName="Table1" ref="A1:E16" totalsRowShown="0">
  <autoFilter ref="A1:E16" xr:uid="{EB3949C2-6B99-4D65-A76C-E7EBA5E8AE5C}"/>
  <tableColumns count="5">
    <tableColumn id="1" xr3:uid="{27F963DE-2FBD-426F-B6B3-AF1DF033D576}" name="Transaction_ID"/>
    <tableColumn id="2" xr3:uid="{81370E09-AE20-4E04-9B8F-5FFC790D5CB6}" name="Date" dataDxfId="2"/>
    <tableColumn id="3" xr3:uid="{2A32DAB6-A520-4C63-8E3D-71882150B2A9}" name="Payment_Method"/>
    <tableColumn id="4" xr3:uid="{127B6608-FC6E-4BB5-9285-1E5D11659C8F}" name="Amount"/>
    <tableColumn id="5" xr3:uid="{F1E9DE92-ECBB-4190-8243-01A59501CD36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DEF264-1F86-482C-A3C9-F941AA8B9162}" name="Table2" displayName="Table2" ref="G1:G16" totalsRowCount="1" totalsRowDxfId="1" totalsRowCellStyle="Percent">
  <autoFilter ref="G1:G15" xr:uid="{87DEF264-1F86-482C-A3C9-F941AA8B9162}"/>
  <tableColumns count="1">
    <tableColumn id="1" xr3:uid="{6BA76AE9-B717-4C6E-8E1E-6F9CD30073A3}" name="Total Transaction Value" totalsRowFunction="custom" totalsRowDxfId="0" totalsRowCellStyle="Percent">
      <totalsRowFormula>COUNTIF(E2:E16,"Successful")/COUNTA(E2:E16)</totalsRow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5E932-8194-4D8B-9E0E-976378348048}">
  <dimension ref="A3:B9"/>
  <sheetViews>
    <sheetView workbookViewId="0">
      <selection activeCell="L5" sqref="L5"/>
    </sheetView>
  </sheetViews>
  <sheetFormatPr defaultRowHeight="14.5"/>
  <cols>
    <col min="1" max="1" width="12.453125" bestFit="1" customWidth="1"/>
    <col min="2" max="2" width="13.6328125" bestFit="1" customWidth="1"/>
  </cols>
  <sheetData>
    <row r="3" spans="1:2">
      <c r="A3" s="4" t="s">
        <v>33</v>
      </c>
      <c r="B3" t="s">
        <v>32</v>
      </c>
    </row>
    <row r="4" spans="1:2">
      <c r="A4" s="5">
        <v>46296</v>
      </c>
      <c r="B4">
        <v>35500</v>
      </c>
    </row>
    <row r="5" spans="1:2">
      <c r="A5" s="5">
        <v>46297</v>
      </c>
      <c r="B5">
        <v>38500</v>
      </c>
    </row>
    <row r="6" spans="1:2">
      <c r="A6" s="5">
        <v>46298</v>
      </c>
      <c r="B6">
        <v>34500</v>
      </c>
    </row>
    <row r="7" spans="1:2">
      <c r="A7" s="5">
        <v>46299</v>
      </c>
      <c r="B7">
        <v>41500</v>
      </c>
    </row>
    <row r="8" spans="1:2">
      <c r="A8" s="5">
        <v>46300</v>
      </c>
      <c r="B8">
        <v>38000</v>
      </c>
    </row>
    <row r="9" spans="1:2">
      <c r="A9" s="5" t="s">
        <v>34</v>
      </c>
      <c r="B9">
        <v>188000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5917-5525-4127-A470-EC70893CE213}">
  <dimension ref="A3:B6"/>
  <sheetViews>
    <sheetView workbookViewId="0">
      <selection activeCell="M14" sqref="M14"/>
    </sheetView>
  </sheetViews>
  <sheetFormatPr defaultRowHeight="14.5"/>
  <cols>
    <col min="1" max="1" width="12.453125" bestFit="1" customWidth="1"/>
    <col min="2" max="2" width="13.7265625" bestFit="1" customWidth="1"/>
  </cols>
  <sheetData>
    <row r="3" spans="1:2">
      <c r="A3" s="4" t="s">
        <v>33</v>
      </c>
      <c r="B3" t="s">
        <v>35</v>
      </c>
    </row>
    <row r="4" spans="1:2">
      <c r="A4" s="6" t="s">
        <v>12</v>
      </c>
      <c r="B4">
        <v>4</v>
      </c>
    </row>
    <row r="5" spans="1:2">
      <c r="A5" s="6" t="s">
        <v>7</v>
      </c>
      <c r="B5">
        <v>11</v>
      </c>
    </row>
    <row r="6" spans="1:2">
      <c r="A6" s="6" t="s">
        <v>34</v>
      </c>
      <c r="B6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B4298-F7CB-4E74-BB43-C0B08FB0C8D1}">
  <dimension ref="A1:M8"/>
  <sheetViews>
    <sheetView showGridLines="0" tabSelected="1" topLeftCell="B1" zoomScale="98" zoomScaleNormal="98" workbookViewId="0">
      <selection activeCell="K9" sqref="K9"/>
    </sheetView>
  </sheetViews>
  <sheetFormatPr defaultRowHeight="14.5"/>
  <cols>
    <col min="1" max="1" width="3.26953125" customWidth="1"/>
    <col min="2" max="2" width="36.26953125" customWidth="1"/>
    <col min="3" max="3" width="0.54296875" hidden="1" customWidth="1"/>
    <col min="4" max="4" width="8.984375E-2" hidden="1" customWidth="1"/>
    <col min="5" max="5" width="0.36328125" hidden="1" customWidth="1"/>
    <col min="6" max="6" width="1.36328125" customWidth="1"/>
    <col min="7" max="7" width="34.7265625" customWidth="1"/>
    <col min="8" max="8" width="2" customWidth="1"/>
    <col min="9" max="9" width="14.453125" hidden="1" customWidth="1"/>
    <col min="10" max="10" width="1.6328125" hidden="1" customWidth="1"/>
    <col min="11" max="11" width="37.54296875" customWidth="1"/>
    <col min="12" max="12" width="14.90625" customWidth="1"/>
    <col min="13" max="13" width="39.1796875" customWidth="1"/>
  </cols>
  <sheetData>
    <row r="1" spans="1:13" ht="41" customHeight="1">
      <c r="B1" s="22" t="s">
        <v>40</v>
      </c>
      <c r="C1" s="20"/>
      <c r="D1" s="20"/>
      <c r="E1" s="20"/>
      <c r="F1" s="19"/>
      <c r="G1" s="20"/>
      <c r="H1" s="20"/>
      <c r="I1" s="20"/>
      <c r="J1" s="20"/>
      <c r="K1" s="20"/>
      <c r="L1" s="10"/>
      <c r="M1" s="10"/>
    </row>
    <row r="2" spans="1:13" ht="12.5" customHeight="1">
      <c r="B2" s="23" t="s">
        <v>39</v>
      </c>
      <c r="C2" s="20"/>
      <c r="D2" s="20"/>
      <c r="E2" s="20"/>
      <c r="F2" s="20"/>
      <c r="G2" s="21"/>
      <c r="H2" s="21"/>
      <c r="I2" s="21"/>
      <c r="J2" s="21"/>
      <c r="K2" s="20"/>
      <c r="L2" s="10"/>
      <c r="M2" s="10"/>
    </row>
    <row r="3" spans="1:13">
      <c r="G3" s="10"/>
      <c r="H3" s="10"/>
      <c r="I3" s="10"/>
      <c r="J3" s="10"/>
      <c r="K3" s="10"/>
      <c r="L3" s="10"/>
    </row>
    <row r="4" spans="1:13" ht="18.5" customHeight="1">
      <c r="B4" s="13" t="s">
        <v>25</v>
      </c>
      <c r="G4" s="12" t="s">
        <v>26</v>
      </c>
      <c r="I4" s="10"/>
      <c r="K4" s="14" t="s">
        <v>27</v>
      </c>
    </row>
    <row r="5" spans="1:13" ht="36.5" customHeight="1">
      <c r="B5" s="8">
        <f>'TRANSACTION SHEET'!G2</f>
        <v>188000</v>
      </c>
      <c r="G5" s="9">
        <f>'TRANSACTION SHEET'!G4</f>
        <v>148500</v>
      </c>
      <c r="I5" s="10"/>
      <c r="K5" s="11">
        <f>'TRANSACTION SHEET'!G6</f>
        <v>39500</v>
      </c>
      <c r="M5" s="10"/>
    </row>
    <row r="6" spans="1:13" ht="9.5" customHeight="1"/>
    <row r="7" spans="1:13" ht="17.5" customHeight="1">
      <c r="A7" s="10"/>
      <c r="B7" s="15" t="s">
        <v>37</v>
      </c>
      <c r="G7" s="17" t="s">
        <v>38</v>
      </c>
      <c r="H7" s="7"/>
      <c r="K7" s="18" t="s">
        <v>30</v>
      </c>
    </row>
    <row r="8" spans="1:13" ht="34.5" customHeight="1">
      <c r="A8" s="10"/>
      <c r="B8" s="16">
        <v>15</v>
      </c>
      <c r="G8" s="24">
        <f>Table2[[#Totals],[Total Transaction Value]]</f>
        <v>0.73333333333333328</v>
      </c>
      <c r="K8" s="25">
        <f>'TRANSACTION SHEET'!G14</f>
        <v>0.26666666666666666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91668-0120-4144-B7F5-01332B66F5B6}">
  <dimension ref="A1:G16"/>
  <sheetViews>
    <sheetView workbookViewId="0">
      <selection activeCell="J12" sqref="J12"/>
    </sheetView>
  </sheetViews>
  <sheetFormatPr defaultRowHeight="14.5"/>
  <cols>
    <col min="1" max="1" width="15.26953125" customWidth="1"/>
    <col min="2" max="2" width="9.08984375" bestFit="1" customWidth="1"/>
    <col min="3" max="3" width="17.26953125" customWidth="1"/>
    <col min="4" max="4" width="9.36328125" customWidth="1"/>
    <col min="5" max="5" width="9.6328125" bestFit="1" customWidth="1"/>
    <col min="7" max="7" width="24.5429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25</v>
      </c>
    </row>
    <row r="2" spans="1:7">
      <c r="A2" t="s">
        <v>5</v>
      </c>
      <c r="B2" s="1">
        <v>46296</v>
      </c>
      <c r="C2" t="s">
        <v>6</v>
      </c>
      <c r="D2">
        <v>15000</v>
      </c>
      <c r="E2" t="s">
        <v>7</v>
      </c>
      <c r="G2">
        <f>SUM(D2:D16)</f>
        <v>188000</v>
      </c>
    </row>
    <row r="3" spans="1:7">
      <c r="A3" t="s">
        <v>8</v>
      </c>
      <c r="B3" s="1">
        <v>46296</v>
      </c>
      <c r="C3" t="s">
        <v>9</v>
      </c>
      <c r="D3">
        <v>8500</v>
      </c>
      <c r="E3" t="s">
        <v>7</v>
      </c>
      <c r="G3" s="3" t="s">
        <v>26</v>
      </c>
    </row>
    <row r="4" spans="1:7">
      <c r="A4" t="s">
        <v>10</v>
      </c>
      <c r="B4" s="1">
        <v>46296</v>
      </c>
      <c r="C4" t="s">
        <v>11</v>
      </c>
      <c r="D4">
        <v>12000</v>
      </c>
      <c r="E4" t="s">
        <v>12</v>
      </c>
      <c r="G4" s="2">
        <f>SUMIF(E2:E16,"Successful",D2:D16)</f>
        <v>148500</v>
      </c>
    </row>
    <row r="5" spans="1:7">
      <c r="A5" t="s">
        <v>13</v>
      </c>
      <c r="B5" s="1">
        <v>46297</v>
      </c>
      <c r="C5" t="s">
        <v>6</v>
      </c>
      <c r="D5">
        <v>22000</v>
      </c>
      <c r="E5" t="s">
        <v>7</v>
      </c>
      <c r="G5" s="3" t="s">
        <v>27</v>
      </c>
    </row>
    <row r="6" spans="1:7">
      <c r="A6" t="s">
        <v>14</v>
      </c>
      <c r="B6" s="1">
        <v>46297</v>
      </c>
      <c r="C6" t="s">
        <v>9</v>
      </c>
      <c r="D6">
        <v>6500</v>
      </c>
      <c r="E6" t="s">
        <v>12</v>
      </c>
      <c r="G6">
        <f>SUMIF(E1:E15,"Failed",D1:D15)</f>
        <v>39500</v>
      </c>
    </row>
    <row r="7" spans="1:7">
      <c r="A7" t="s">
        <v>15</v>
      </c>
      <c r="B7" s="1">
        <v>46297</v>
      </c>
      <c r="C7" t="s">
        <v>11</v>
      </c>
      <c r="D7">
        <v>10000</v>
      </c>
      <c r="E7" t="s">
        <v>7</v>
      </c>
      <c r="G7" s="3" t="s">
        <v>36</v>
      </c>
    </row>
    <row r="8" spans="1:7">
      <c r="A8" t="s">
        <v>16</v>
      </c>
      <c r="B8" s="1">
        <v>46298</v>
      </c>
      <c r="C8" t="s">
        <v>6</v>
      </c>
      <c r="D8">
        <v>18000</v>
      </c>
      <c r="E8" t="s">
        <v>7</v>
      </c>
      <c r="G8">
        <v>15</v>
      </c>
    </row>
    <row r="9" spans="1:7">
      <c r="A9" t="s">
        <v>17</v>
      </c>
      <c r="B9" s="1">
        <v>46298</v>
      </c>
      <c r="C9" t="s">
        <v>9</v>
      </c>
      <c r="D9">
        <v>9500</v>
      </c>
      <c r="E9" t="s">
        <v>7</v>
      </c>
      <c r="G9" s="3" t="s">
        <v>28</v>
      </c>
    </row>
    <row r="10" spans="1:7">
      <c r="A10" t="s">
        <v>18</v>
      </c>
      <c r="B10" s="1">
        <v>46298</v>
      </c>
      <c r="C10" t="s">
        <v>11</v>
      </c>
      <c r="D10">
        <v>7000</v>
      </c>
      <c r="E10" t="s">
        <v>12</v>
      </c>
      <c r="G10">
        <f>COUNTIF(E2:E16,"SUCCESSFUL")</f>
        <v>11</v>
      </c>
    </row>
    <row r="11" spans="1:7">
      <c r="A11" t="s">
        <v>19</v>
      </c>
      <c r="B11" s="1">
        <v>46299</v>
      </c>
      <c r="C11" t="s">
        <v>6</v>
      </c>
      <c r="D11">
        <v>25000</v>
      </c>
      <c r="E11" t="s">
        <v>7</v>
      </c>
      <c r="G11" s="3" t="s">
        <v>29</v>
      </c>
    </row>
    <row r="12" spans="1:7">
      <c r="A12" t="s">
        <v>20</v>
      </c>
      <c r="B12" s="1">
        <v>46299</v>
      </c>
      <c r="C12" t="s">
        <v>9</v>
      </c>
      <c r="D12">
        <v>11000</v>
      </c>
      <c r="E12" t="s">
        <v>7</v>
      </c>
      <c r="G12">
        <f>COUNTIF(E2:E16,"Failed")</f>
        <v>4</v>
      </c>
    </row>
    <row r="13" spans="1:7">
      <c r="A13" t="s">
        <v>21</v>
      </c>
      <c r="B13" s="1">
        <v>46299</v>
      </c>
      <c r="C13" t="s">
        <v>11</v>
      </c>
      <c r="D13">
        <v>5500</v>
      </c>
      <c r="E13" t="s">
        <v>7</v>
      </c>
      <c r="G13" s="3" t="s">
        <v>30</v>
      </c>
    </row>
    <row r="14" spans="1:7">
      <c r="A14" t="s">
        <v>22</v>
      </c>
      <c r="B14" s="1">
        <v>46300</v>
      </c>
      <c r="C14" t="s">
        <v>6</v>
      </c>
      <c r="D14">
        <v>14000</v>
      </c>
      <c r="E14" t="s">
        <v>12</v>
      </c>
      <c r="G14" s="26">
        <f>COUNTIF(E2:E16,"Failed")/COUNTA(E2:E16)</f>
        <v>0.26666666666666666</v>
      </c>
    </row>
    <row r="15" spans="1:7">
      <c r="A15" t="s">
        <v>23</v>
      </c>
      <c r="B15" s="1">
        <v>46300</v>
      </c>
      <c r="C15" t="s">
        <v>9</v>
      </c>
      <c r="D15">
        <v>8000</v>
      </c>
      <c r="E15" t="s">
        <v>7</v>
      </c>
      <c r="G15" s="3" t="s">
        <v>31</v>
      </c>
    </row>
    <row r="16" spans="1:7">
      <c r="A16" t="s">
        <v>24</v>
      </c>
      <c r="B16" s="1">
        <v>46300</v>
      </c>
      <c r="C16" t="s">
        <v>11</v>
      </c>
      <c r="D16">
        <v>16000</v>
      </c>
      <c r="E16" t="s">
        <v>7</v>
      </c>
      <c r="G16" s="27">
        <f>COUNTIF(E2:E16,"Successful")/COUNTA(E2:E16)</f>
        <v>0.73333333333333328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DASHBOARD</vt:lpstr>
      <vt:lpstr>TRANSACTION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TOMISIN AIYEDUN</dc:creator>
  <cp:lastModifiedBy>TOMISIN AIYEDUN</cp:lastModifiedBy>
  <cp:lastPrinted>2026-10-20T11:46:09Z</cp:lastPrinted>
  <dcterms:created xsi:type="dcterms:W3CDTF">2026-10-20T08:30:36Z</dcterms:created>
  <dcterms:modified xsi:type="dcterms:W3CDTF">2026-10-20T12:26:13Z</dcterms:modified>
</cp:coreProperties>
</file>